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fe2883faedf2c4/Desktop/dash cluster/rozpocet-cena-finance/"/>
    </mc:Choice>
  </mc:AlternateContent>
  <xr:revisionPtr revIDLastSave="496" documentId="14_{A5C99B4C-0375-461A-89CD-3B7F4C1A3DD7}" xr6:coauthVersionLast="47" xr6:coauthVersionMax="47" xr10:uidLastSave="{BCFEEC40-86FC-43A0-A514-BB27F18EA8A7}"/>
  <bookViews>
    <workbookView xWindow="-120" yWindow="-120" windowWidth="29040" windowHeight="15720" xr2:uid="{C5ED2B79-0C50-4B76-979C-152307558E84}"/>
  </bookViews>
  <sheets>
    <sheet name="Výdělek za 1ks" sheetId="1" r:id="rId1"/>
    <sheet name="Rok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  <c r="H1" i="1"/>
  <c r="R45" i="1"/>
  <c r="S45" i="1"/>
  <c r="T45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23" i="1"/>
  <c r="H3" i="1" s="1"/>
  <c r="H45" i="1"/>
  <c r="G45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23" i="1"/>
  <c r="M9" i="1" l="1"/>
  <c r="M10" i="1" s="1"/>
  <c r="M11" i="1" s="1"/>
  <c r="M12" i="1" s="1"/>
  <c r="I45" i="1"/>
</calcChain>
</file>

<file path=xl/sharedStrings.xml><?xml version="1.0" encoding="utf-8"?>
<sst xmlns="http://schemas.openxmlformats.org/spreadsheetml/2006/main" count="58" uniqueCount="39">
  <si>
    <t>cena</t>
  </si>
  <si>
    <t>Brown Switche</t>
  </si>
  <si>
    <t>cena 1ks</t>
  </si>
  <si>
    <t>ks v balení</t>
  </si>
  <si>
    <t>LED pásek (pro jednotlivé LED)</t>
  </si>
  <si>
    <t>Raspberry Pi Pico klon 16MB, USB-C</t>
  </si>
  <si>
    <t>PCB (počítat s velkovýrobní cenou)</t>
  </si>
  <si>
    <t>Datový  kabel USB-C</t>
  </si>
  <si>
    <t>Dupont kabely samec-samice</t>
  </si>
  <si>
    <t>Šrouby M2x10mm</t>
  </si>
  <si>
    <t>Matice M2</t>
  </si>
  <si>
    <t>Distanční sloupky M2, různé velikosti</t>
  </si>
  <si>
    <t>Resin černý standart Anycubic (Water-Washable)</t>
  </si>
  <si>
    <t>&lt;= v gramech</t>
  </si>
  <si>
    <t>3 pozicový spínač zapalování</t>
  </si>
  <si>
    <t>Expander GPIO pinů</t>
  </si>
  <si>
    <t>Uzavíratelné sáčky</t>
  </si>
  <si>
    <t>Krabice 300x250x150mm</t>
  </si>
  <si>
    <t>Etiketa - samolepící papír do tiskárny</t>
  </si>
  <si>
    <t>Flashdisk 4GB - návod atd.</t>
  </si>
  <si>
    <t>Materiál/komponenta nutné k výrobě jednoho kusu</t>
  </si>
  <si>
    <t>Materiál/komponenta použitelné opakovaně</t>
  </si>
  <si>
    <t>Cín na pájení</t>
  </si>
  <si>
    <t>potřeba dokoupit kusů</t>
  </si>
  <si>
    <t>celková cena</t>
  </si>
  <si>
    <t>Kalafuna</t>
  </si>
  <si>
    <t>PCB testovacích desek (5 je minimum výrobce)</t>
  </si>
  <si>
    <t>Celkem</t>
  </si>
  <si>
    <t>Kolik (ks) jakých materiálů/komponent bylo potřeba?</t>
  </si>
  <si>
    <t>Dnes je</t>
  </si>
  <si>
    <t>kusy/gramy</t>
  </si>
  <si>
    <t xml:space="preserve">Celkové náklady </t>
  </si>
  <si>
    <t>Marže (v %)</t>
  </si>
  <si>
    <t>Zadej a změň</t>
  </si>
  <si>
    <t>Hrubý výdělek</t>
  </si>
  <si>
    <t>Výdělek bez nákladů</t>
  </si>
  <si>
    <t>Čistý výdělek</t>
  </si>
  <si>
    <t>Daň (v %)</t>
  </si>
  <si>
    <t>Výpočet nákladů, prodejů a zisků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</si>
</sst>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Kč&quot;"/>
    <numFmt numFmtId="165" formatCode="0&quot; ks&quot;"/>
    <numFmt numFmtId="166" formatCode="0&quot; g&quot;"/>
  </numFmts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2" xfId="0" applyBorder="1"/>
    <xf numFmtId="0" fontId="0" fillId="2" borderId="13" xfId="0" applyFill="1" applyBorder="1"/>
    <xf numFmtId="0" fontId="0" fillId="2" borderId="14" xfId="0" applyFill="1" applyBorder="1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4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17" xfId="0" applyFill="1" applyBorder="1"/>
    <xf numFmtId="0" fontId="0" fillId="2" borderId="2" xfId="0" applyFill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27" xfId="0" applyNumberFormat="1" applyBorder="1"/>
    <xf numFmtId="164" fontId="0" fillId="0" borderId="18" xfId="0" applyNumberFormat="1" applyBorder="1"/>
    <xf numFmtId="165" fontId="0" fillId="0" borderId="13" xfId="0" applyNumberFormat="1" applyBorder="1"/>
    <xf numFmtId="165" fontId="0" fillId="0" borderId="30" xfId="0" applyNumberFormat="1" applyBorder="1"/>
    <xf numFmtId="166" fontId="0" fillId="0" borderId="13" xfId="0" applyNumberFormat="1" applyBorder="1"/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/>
    <xf numFmtId="164" fontId="0" fillId="2" borderId="19" xfId="0" applyNumberFormat="1" applyFill="1" applyBorder="1"/>
    <xf numFmtId="165" fontId="0" fillId="2" borderId="2" xfId="0" applyNumberFormat="1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1" xfId="0" applyFill="1" applyBorder="1"/>
    <xf numFmtId="164" fontId="1" fillId="5" borderId="2" xfId="0" applyNumberFormat="1" applyFont="1" applyFill="1" applyBorder="1"/>
    <xf numFmtId="0" fontId="0" fillId="6" borderId="0" xfId="0" applyFill="1"/>
    <xf numFmtId="0" fontId="0" fillId="0" borderId="31" xfId="0" applyBorder="1"/>
    <xf numFmtId="0" fontId="0" fillId="6" borderId="32" xfId="0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164" fontId="0" fillId="11" borderId="2" xfId="0" applyNumberFormat="1" applyFill="1" applyBorder="1"/>
    <xf numFmtId="0" fontId="3" fillId="4" borderId="34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6" borderId="33" xfId="0" applyNumberFormat="1" applyFill="1" applyBorder="1" applyAlignment="1">
      <alignment horizontal="left" vertical="center"/>
    </xf>
    <xf numFmtId="14" fontId="0" fillId="6" borderId="19" xfId="0" applyNumberForma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1" fillId="9" borderId="32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164" fontId="2" fillId="8" borderId="32" xfId="0" applyNumberFormat="1" applyFont="1" applyFill="1" applyBorder="1" applyAlignment="1">
      <alignment horizontal="right" vertical="center"/>
    </xf>
    <xf numFmtId="0" fontId="2" fillId="8" borderId="19" xfId="0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1" fillId="10" borderId="32" xfId="0" applyFont="1" applyFill="1" applyBorder="1" applyAlignment="1">
      <alignment horizontal="center"/>
    </xf>
    <xf numFmtId="0" fontId="1" fillId="10" borderId="33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10" fontId="0" fillId="11" borderId="33" xfId="0" applyNumberFormat="1" applyFill="1" applyBorder="1" applyAlignment="1">
      <alignment horizontal="center"/>
    </xf>
    <xf numFmtId="10" fontId="0" fillId="11" borderId="19" xfId="0" applyNumberFormat="1" applyFill="1" applyBorder="1" applyAlignment="1">
      <alignment horizontal="center"/>
    </xf>
    <xf numFmtId="10" fontId="0" fillId="11" borderId="32" xfId="0" applyNumberFormat="1" applyFill="1" applyBorder="1" applyAlignment="1">
      <alignment horizontal="center"/>
    </xf>
    <xf numFmtId="0" fontId="4" fillId="9" borderId="32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164" fontId="4" fillId="7" borderId="32" xfId="0" applyNumberFormat="1" applyFont="1" applyFill="1" applyBorder="1" applyAlignment="1">
      <alignment horizontal="right" vertical="center"/>
    </xf>
    <xf numFmtId="0" fontId="4" fillId="7" borderId="19" xfId="0" applyFont="1" applyFill="1" applyBorder="1" applyAlignment="1">
      <alignment horizontal="right" vertical="center"/>
    </xf>
    <xf numFmtId="164" fontId="1" fillId="7" borderId="32" xfId="0" applyNumberFormat="1" applyFont="1" applyFill="1" applyBorder="1" applyAlignment="1">
      <alignment horizontal="right" vertical="center"/>
    </xf>
    <xf numFmtId="0" fontId="1" fillId="7" borderId="19" xfId="0" applyFont="1" applyFill="1" applyBorder="1" applyAlignment="1">
      <alignment horizontal="righ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F80B-7F4F-4904-81EE-DC161D316EA9}">
  <dimension ref="A1:T45"/>
  <sheetViews>
    <sheetView tabSelected="1" zoomScale="88" zoomScaleNormal="70" workbookViewId="0">
      <selection activeCell="H24" sqref="H24"/>
    </sheetView>
  </sheetViews>
  <sheetFormatPr defaultRowHeight="15" x14ac:dyDescent="0.25"/>
  <cols>
    <col min="6" max="6" width="2.5703125" customWidth="1"/>
    <col min="7" max="7" width="12.85546875" customWidth="1"/>
    <col min="8" max="8" width="13.5703125" customWidth="1"/>
    <col min="9" max="9" width="13.140625" customWidth="1"/>
    <col min="10" max="10" width="9.140625" customWidth="1"/>
    <col min="11" max="11" width="8.85546875" customWidth="1"/>
    <col min="17" max="17" width="2.7109375" customWidth="1"/>
    <col min="18" max="18" width="16.28515625" customWidth="1"/>
    <col min="19" max="19" width="27.140625" customWidth="1"/>
    <col min="20" max="20" width="17.28515625" customWidth="1"/>
  </cols>
  <sheetData>
    <row r="1" spans="1:18" ht="16.5" thickBot="1" x14ac:dyDescent="0.3">
      <c r="A1" s="31" t="s">
        <v>38</v>
      </c>
      <c r="B1" s="32"/>
      <c r="C1" s="32"/>
      <c r="D1" s="32"/>
      <c r="E1" s="33"/>
      <c r="F1" s="26"/>
      <c r="G1" s="28" t="s">
        <v>29</v>
      </c>
      <c r="H1" s="40">
        <f ca="1">TODAY()</f>
        <v>46043</v>
      </c>
      <c r="I1" s="41"/>
      <c r="J1" s="68" t="s">
        <v>33</v>
      </c>
      <c r="K1" s="69"/>
      <c r="L1" s="69"/>
      <c r="M1" s="70"/>
    </row>
    <row r="2" spans="1:18" ht="15.75" thickBot="1" x14ac:dyDescent="0.3">
      <c r="A2" s="61" t="s">
        <v>28</v>
      </c>
      <c r="B2" s="62"/>
      <c r="C2" s="62"/>
      <c r="D2" s="62"/>
      <c r="E2" s="62"/>
      <c r="F2" s="22"/>
      <c r="G2" s="29" t="s">
        <v>30</v>
      </c>
      <c r="H2" s="29" t="s">
        <v>0</v>
      </c>
      <c r="J2" s="61" t="s">
        <v>32</v>
      </c>
      <c r="K2" s="71"/>
      <c r="L2" s="72">
        <v>0.4</v>
      </c>
      <c r="M2" s="73"/>
    </row>
    <row r="3" spans="1:18" ht="15.75" thickBot="1" x14ac:dyDescent="0.3">
      <c r="A3" s="45" t="s">
        <v>1</v>
      </c>
      <c r="B3" s="46"/>
      <c r="C3" s="46"/>
      <c r="D3" s="46"/>
      <c r="E3" s="46"/>
      <c r="F3" s="23"/>
      <c r="G3" s="1">
        <v>20</v>
      </c>
      <c r="H3" s="30">
        <f>G3*I23</f>
        <v>181.63636363636363</v>
      </c>
      <c r="J3" s="61" t="s">
        <v>37</v>
      </c>
      <c r="K3" s="71"/>
      <c r="L3" s="74">
        <v>0.15</v>
      </c>
      <c r="M3" s="73"/>
    </row>
    <row r="4" spans="1:18" ht="15.75" thickBot="1" x14ac:dyDescent="0.3">
      <c r="A4" s="37" t="s">
        <v>4</v>
      </c>
      <c r="B4" s="38"/>
      <c r="C4" s="38"/>
      <c r="D4" s="38"/>
      <c r="E4" s="38"/>
      <c r="F4" s="23"/>
      <c r="G4" s="1">
        <v>20</v>
      </c>
      <c r="H4" s="30">
        <f>G4*I24</f>
        <v>45.555555555555557</v>
      </c>
      <c r="N4" s="67"/>
      <c r="O4" s="67"/>
      <c r="P4" s="67"/>
      <c r="Q4" s="67"/>
      <c r="R4" s="67"/>
    </row>
    <row r="5" spans="1:18" ht="15.75" thickBot="1" x14ac:dyDescent="0.3">
      <c r="A5" s="37" t="s">
        <v>5</v>
      </c>
      <c r="B5" s="38"/>
      <c r="C5" s="38"/>
      <c r="D5" s="38"/>
      <c r="E5" s="38"/>
      <c r="F5" s="23"/>
      <c r="G5" s="1">
        <v>1</v>
      </c>
      <c r="H5" s="30">
        <f t="shared" ref="H5:H20" si="0">G5*I25</f>
        <v>91</v>
      </c>
    </row>
    <row r="6" spans="1:18" ht="15.75" thickBot="1" x14ac:dyDescent="0.3">
      <c r="A6" s="37" t="s">
        <v>6</v>
      </c>
      <c r="B6" s="38"/>
      <c r="C6" s="38"/>
      <c r="D6" s="38"/>
      <c r="E6" s="38"/>
      <c r="F6" s="23"/>
      <c r="G6" s="1">
        <v>1</v>
      </c>
      <c r="H6" s="30">
        <f t="shared" si="0"/>
        <v>23.81</v>
      </c>
    </row>
    <row r="7" spans="1:18" ht="15.75" thickBot="1" x14ac:dyDescent="0.3">
      <c r="A7" s="37" t="s">
        <v>7</v>
      </c>
      <c r="B7" s="38"/>
      <c r="C7" s="38"/>
      <c r="D7" s="38"/>
      <c r="E7" s="38"/>
      <c r="F7" s="23"/>
      <c r="G7" s="1">
        <v>1</v>
      </c>
      <c r="H7" s="30">
        <f t="shared" si="0"/>
        <v>28</v>
      </c>
    </row>
    <row r="8" spans="1:18" ht="15.75" thickBot="1" x14ac:dyDescent="0.3">
      <c r="A8" s="37" t="s">
        <v>8</v>
      </c>
      <c r="B8" s="38"/>
      <c r="C8" s="38"/>
      <c r="D8" s="38"/>
      <c r="E8" s="38"/>
      <c r="F8" s="23"/>
      <c r="G8" s="1">
        <v>20</v>
      </c>
      <c r="H8" s="30">
        <f t="shared" si="0"/>
        <v>17.5</v>
      </c>
    </row>
    <row r="9" spans="1:18" ht="15.75" thickBot="1" x14ac:dyDescent="0.3">
      <c r="A9" s="37" t="s">
        <v>9</v>
      </c>
      <c r="B9" s="38"/>
      <c r="C9" s="38"/>
      <c r="D9" s="38"/>
      <c r="E9" s="38"/>
      <c r="F9" s="23"/>
      <c r="G9" s="1"/>
      <c r="H9" s="30">
        <f t="shared" si="0"/>
        <v>0</v>
      </c>
      <c r="K9" s="75" t="s">
        <v>31</v>
      </c>
      <c r="L9" s="76"/>
      <c r="M9" s="77">
        <f>H3+H4+H5+H6+H7+H8+H9+H10+H11+H12+H13+H14+H15+H16+H17+H18+H19+H20</f>
        <v>726.09191919191915</v>
      </c>
      <c r="N9" s="78"/>
    </row>
    <row r="10" spans="1:18" ht="15.75" thickBot="1" x14ac:dyDescent="0.3">
      <c r="A10" s="37" t="s">
        <v>10</v>
      </c>
      <c r="B10" s="38"/>
      <c r="C10" s="38"/>
      <c r="D10" s="38"/>
      <c r="E10" s="38"/>
      <c r="F10" s="23"/>
      <c r="G10" s="1"/>
      <c r="H10" s="30">
        <f t="shared" si="0"/>
        <v>0</v>
      </c>
      <c r="K10" s="75" t="s">
        <v>34</v>
      </c>
      <c r="L10" s="76"/>
      <c r="M10" s="79">
        <f>M9*(1+L2)</f>
        <v>1016.5286868686867</v>
      </c>
      <c r="N10" s="80"/>
    </row>
    <row r="11" spans="1:18" ht="15.75" thickBot="1" x14ac:dyDescent="0.3">
      <c r="A11" s="37" t="s">
        <v>11</v>
      </c>
      <c r="B11" s="38"/>
      <c r="C11" s="38"/>
      <c r="D11" s="38"/>
      <c r="E11" s="38"/>
      <c r="F11" s="23"/>
      <c r="G11" s="1"/>
      <c r="H11" s="30">
        <f t="shared" si="0"/>
        <v>0</v>
      </c>
      <c r="K11" s="75" t="s">
        <v>35</v>
      </c>
      <c r="L11" s="76"/>
      <c r="M11" s="77">
        <f>M10-M9</f>
        <v>290.43676767676754</v>
      </c>
      <c r="N11" s="78"/>
    </row>
    <row r="12" spans="1:18" ht="15.75" thickBot="1" x14ac:dyDescent="0.3">
      <c r="A12" s="37" t="s">
        <v>12</v>
      </c>
      <c r="B12" s="38"/>
      <c r="C12" s="38"/>
      <c r="D12" s="38"/>
      <c r="E12" s="38"/>
      <c r="F12" s="23"/>
      <c r="G12" s="1">
        <v>250</v>
      </c>
      <c r="H12" s="30">
        <f t="shared" si="0"/>
        <v>117.75</v>
      </c>
      <c r="K12" s="63" t="s">
        <v>36</v>
      </c>
      <c r="L12" s="64"/>
      <c r="M12" s="65">
        <f>M11*(1-L3)</f>
        <v>246.8712525252524</v>
      </c>
      <c r="N12" s="66"/>
    </row>
    <row r="13" spans="1:18" ht="15.75" thickBot="1" x14ac:dyDescent="0.3">
      <c r="A13" s="37" t="s">
        <v>14</v>
      </c>
      <c r="B13" s="38"/>
      <c r="C13" s="38"/>
      <c r="D13" s="38"/>
      <c r="E13" s="38"/>
      <c r="F13" s="23"/>
      <c r="G13" s="1">
        <v>1</v>
      </c>
      <c r="H13" s="30">
        <f t="shared" si="0"/>
        <v>139</v>
      </c>
    </row>
    <row r="14" spans="1:18" ht="15.75" thickBot="1" x14ac:dyDescent="0.3">
      <c r="A14" s="37" t="s">
        <v>15</v>
      </c>
      <c r="B14" s="38"/>
      <c r="C14" s="38"/>
      <c r="D14" s="38"/>
      <c r="E14" s="38"/>
      <c r="F14" s="23"/>
      <c r="G14" s="1"/>
      <c r="H14" s="30">
        <f t="shared" si="0"/>
        <v>0</v>
      </c>
    </row>
    <row r="15" spans="1:18" ht="15.75" thickBot="1" x14ac:dyDescent="0.3">
      <c r="A15" s="37" t="s">
        <v>16</v>
      </c>
      <c r="B15" s="38"/>
      <c r="C15" s="38"/>
      <c r="D15" s="38"/>
      <c r="E15" s="38"/>
      <c r="F15" s="23"/>
      <c r="G15" s="1"/>
      <c r="H15" s="30">
        <f t="shared" si="0"/>
        <v>0</v>
      </c>
    </row>
    <row r="16" spans="1:18" ht="15.75" thickBot="1" x14ac:dyDescent="0.3">
      <c r="A16" s="37" t="s">
        <v>17</v>
      </c>
      <c r="B16" s="38"/>
      <c r="C16" s="38"/>
      <c r="D16" s="38"/>
      <c r="E16" s="38"/>
      <c r="F16" s="23"/>
      <c r="G16" s="1">
        <v>1</v>
      </c>
      <c r="H16" s="30">
        <f t="shared" si="0"/>
        <v>7.65</v>
      </c>
    </row>
    <row r="17" spans="1:20" ht="15.75" thickBot="1" x14ac:dyDescent="0.3">
      <c r="A17" s="37" t="s">
        <v>18</v>
      </c>
      <c r="B17" s="38"/>
      <c r="C17" s="38"/>
      <c r="D17" s="38"/>
      <c r="E17" s="38"/>
      <c r="F17" s="23"/>
      <c r="G17" s="1">
        <v>1</v>
      </c>
      <c r="H17" s="30">
        <f t="shared" si="0"/>
        <v>1.19</v>
      </c>
    </row>
    <row r="18" spans="1:20" ht="15.75" thickBot="1" x14ac:dyDescent="0.3">
      <c r="A18" s="48" t="s">
        <v>19</v>
      </c>
      <c r="B18" s="49"/>
      <c r="C18" s="49"/>
      <c r="D18" s="49"/>
      <c r="E18" s="49"/>
      <c r="F18" s="23"/>
      <c r="G18" s="1">
        <v>1</v>
      </c>
      <c r="H18" s="30">
        <f t="shared" si="0"/>
        <v>73</v>
      </c>
    </row>
    <row r="19" spans="1:20" ht="15.75" thickBot="1" x14ac:dyDescent="0.3">
      <c r="A19" s="37"/>
      <c r="B19" s="38"/>
      <c r="C19" s="38"/>
      <c r="D19" s="38"/>
      <c r="E19" s="39"/>
      <c r="F19" s="23"/>
      <c r="G19" s="1"/>
      <c r="H19" s="30">
        <f t="shared" si="0"/>
        <v>0</v>
      </c>
    </row>
    <row r="20" spans="1:20" ht="15.75" thickBot="1" x14ac:dyDescent="0.3">
      <c r="A20" s="34"/>
      <c r="B20" s="35"/>
      <c r="C20" s="35"/>
      <c r="D20" s="35"/>
      <c r="E20" s="36"/>
      <c r="F20" s="24"/>
      <c r="G20" s="27"/>
      <c r="H20" s="30">
        <f t="shared" si="0"/>
        <v>0</v>
      </c>
    </row>
    <row r="21" spans="1:20" ht="15.75" thickBot="1" x14ac:dyDescent="0.3"/>
    <row r="22" spans="1:20" ht="15.75" thickBot="1" x14ac:dyDescent="0.3">
      <c r="A22" s="42" t="s">
        <v>20</v>
      </c>
      <c r="B22" s="43"/>
      <c r="C22" s="43"/>
      <c r="D22" s="43"/>
      <c r="E22" s="44"/>
      <c r="F22" s="10"/>
      <c r="G22" s="5" t="s">
        <v>0</v>
      </c>
      <c r="H22" s="5" t="s">
        <v>3</v>
      </c>
      <c r="I22" s="5" t="s">
        <v>2</v>
      </c>
      <c r="J22" s="4"/>
      <c r="L22" s="42" t="s">
        <v>21</v>
      </c>
      <c r="M22" s="43"/>
      <c r="N22" s="43"/>
      <c r="O22" s="43"/>
      <c r="P22" s="44"/>
      <c r="Q22" s="10"/>
      <c r="R22" s="18" t="s">
        <v>2</v>
      </c>
      <c r="S22" s="18" t="s">
        <v>23</v>
      </c>
      <c r="T22" s="18" t="s">
        <v>24</v>
      </c>
    </row>
    <row r="23" spans="1:20" ht="15.75" thickBot="1" x14ac:dyDescent="0.3">
      <c r="A23" s="45" t="s">
        <v>1</v>
      </c>
      <c r="B23" s="46"/>
      <c r="C23" s="46"/>
      <c r="D23" s="46"/>
      <c r="E23" s="47"/>
      <c r="F23" s="2"/>
      <c r="G23" s="11">
        <v>999</v>
      </c>
      <c r="H23" s="15">
        <v>110</v>
      </c>
      <c r="I23" s="25">
        <f>IF(H23=0,0,G23/H23)</f>
        <v>9.081818181818182</v>
      </c>
      <c r="L23" s="45" t="s">
        <v>22</v>
      </c>
      <c r="M23" s="46"/>
      <c r="N23" s="46"/>
      <c r="O23" s="46"/>
      <c r="P23" s="47"/>
      <c r="Q23" s="2"/>
      <c r="R23" s="11">
        <v>29</v>
      </c>
      <c r="S23" s="15">
        <v>10</v>
      </c>
      <c r="T23" s="25">
        <f>R23*S23</f>
        <v>290</v>
      </c>
    </row>
    <row r="24" spans="1:20" ht="15.75" thickBot="1" x14ac:dyDescent="0.3">
      <c r="A24" s="37" t="s">
        <v>4</v>
      </c>
      <c r="B24" s="38"/>
      <c r="C24" s="38"/>
      <c r="D24" s="38"/>
      <c r="E24" s="39"/>
      <c r="F24" s="3"/>
      <c r="G24" s="12">
        <v>328</v>
      </c>
      <c r="H24" s="15">
        <v>144</v>
      </c>
      <c r="I24" s="25">
        <f t="shared" ref="I24:I44" si="1">IF(H24=0,0,G24/H24)</f>
        <v>2.2777777777777777</v>
      </c>
      <c r="L24" s="37" t="s">
        <v>25</v>
      </c>
      <c r="M24" s="38"/>
      <c r="N24" s="38"/>
      <c r="O24" s="38"/>
      <c r="P24" s="39"/>
      <c r="Q24" s="3"/>
      <c r="R24" s="12">
        <v>31</v>
      </c>
      <c r="S24" s="15">
        <v>2</v>
      </c>
      <c r="T24" s="25">
        <f t="shared" ref="T24:T44" si="2">R24*S24</f>
        <v>62</v>
      </c>
    </row>
    <row r="25" spans="1:20" ht="15.75" thickBot="1" x14ac:dyDescent="0.3">
      <c r="A25" s="37" t="s">
        <v>5</v>
      </c>
      <c r="B25" s="38"/>
      <c r="C25" s="38"/>
      <c r="D25" s="38"/>
      <c r="E25" s="39"/>
      <c r="F25" s="3"/>
      <c r="G25" s="12">
        <v>91</v>
      </c>
      <c r="H25" s="15">
        <v>1</v>
      </c>
      <c r="I25" s="25">
        <f t="shared" si="1"/>
        <v>91</v>
      </c>
      <c r="L25" s="37" t="s">
        <v>26</v>
      </c>
      <c r="M25" s="38"/>
      <c r="N25" s="38"/>
      <c r="O25" s="38"/>
      <c r="P25" s="39"/>
      <c r="Q25" s="3"/>
      <c r="R25" s="12">
        <v>69</v>
      </c>
      <c r="S25" s="15">
        <v>5</v>
      </c>
      <c r="T25" s="25">
        <f t="shared" si="2"/>
        <v>345</v>
      </c>
    </row>
    <row r="26" spans="1:20" ht="15.75" thickBot="1" x14ac:dyDescent="0.3">
      <c r="A26" s="37" t="s">
        <v>6</v>
      </c>
      <c r="B26" s="38"/>
      <c r="C26" s="38"/>
      <c r="D26" s="38"/>
      <c r="E26" s="39"/>
      <c r="F26" s="3"/>
      <c r="G26" s="12">
        <v>2381</v>
      </c>
      <c r="H26" s="15">
        <v>100</v>
      </c>
      <c r="I26" s="25">
        <f t="shared" si="1"/>
        <v>23.81</v>
      </c>
      <c r="L26" s="37"/>
      <c r="M26" s="38"/>
      <c r="N26" s="38"/>
      <c r="O26" s="38"/>
      <c r="P26" s="39"/>
      <c r="Q26" s="3"/>
      <c r="R26" s="12"/>
      <c r="S26" s="15"/>
      <c r="T26" s="25">
        <f t="shared" si="2"/>
        <v>0</v>
      </c>
    </row>
    <row r="27" spans="1:20" ht="15.75" thickBot="1" x14ac:dyDescent="0.3">
      <c r="A27" s="37" t="s">
        <v>7</v>
      </c>
      <c r="B27" s="38"/>
      <c r="C27" s="38"/>
      <c r="D27" s="38"/>
      <c r="E27" s="39"/>
      <c r="F27" s="3"/>
      <c r="G27" s="12">
        <v>28</v>
      </c>
      <c r="H27" s="15">
        <v>1</v>
      </c>
      <c r="I27" s="25">
        <f t="shared" si="1"/>
        <v>28</v>
      </c>
      <c r="L27" s="37"/>
      <c r="M27" s="38"/>
      <c r="N27" s="38"/>
      <c r="O27" s="38"/>
      <c r="P27" s="39"/>
      <c r="Q27" s="3"/>
      <c r="R27" s="12"/>
      <c r="S27" s="15"/>
      <c r="T27" s="25">
        <f t="shared" si="2"/>
        <v>0</v>
      </c>
    </row>
    <row r="28" spans="1:20" ht="15.75" thickBot="1" x14ac:dyDescent="0.3">
      <c r="A28" s="37" t="s">
        <v>8</v>
      </c>
      <c r="B28" s="38"/>
      <c r="C28" s="38"/>
      <c r="D28" s="38"/>
      <c r="E28" s="39"/>
      <c r="F28" s="3"/>
      <c r="G28" s="12">
        <v>35</v>
      </c>
      <c r="H28" s="15">
        <v>40</v>
      </c>
      <c r="I28" s="25">
        <f t="shared" si="1"/>
        <v>0.875</v>
      </c>
      <c r="L28" s="37"/>
      <c r="M28" s="38"/>
      <c r="N28" s="38"/>
      <c r="O28" s="38"/>
      <c r="P28" s="39"/>
      <c r="Q28" s="3"/>
      <c r="R28" s="12"/>
      <c r="S28" s="15"/>
      <c r="T28" s="25">
        <f t="shared" si="2"/>
        <v>0</v>
      </c>
    </row>
    <row r="29" spans="1:20" ht="15.75" thickBot="1" x14ac:dyDescent="0.3">
      <c r="A29" s="37" t="s">
        <v>9</v>
      </c>
      <c r="B29" s="38"/>
      <c r="C29" s="38"/>
      <c r="D29" s="38"/>
      <c r="E29" s="39"/>
      <c r="F29" s="3"/>
      <c r="G29" s="12">
        <v>235</v>
      </c>
      <c r="H29" s="15">
        <v>500</v>
      </c>
      <c r="I29" s="25">
        <f t="shared" si="1"/>
        <v>0.47</v>
      </c>
      <c r="L29" s="37"/>
      <c r="M29" s="38"/>
      <c r="N29" s="38"/>
      <c r="O29" s="38"/>
      <c r="P29" s="39"/>
      <c r="Q29" s="3"/>
      <c r="R29" s="12"/>
      <c r="S29" s="15"/>
      <c r="T29" s="25">
        <f t="shared" si="2"/>
        <v>0</v>
      </c>
    </row>
    <row r="30" spans="1:20" ht="15.75" thickBot="1" x14ac:dyDescent="0.3">
      <c r="A30" s="37" t="s">
        <v>10</v>
      </c>
      <c r="B30" s="38"/>
      <c r="C30" s="38"/>
      <c r="D30" s="38"/>
      <c r="E30" s="39"/>
      <c r="F30" s="3"/>
      <c r="G30" s="12">
        <v>353</v>
      </c>
      <c r="H30" s="15">
        <v>1500</v>
      </c>
      <c r="I30" s="25">
        <f t="shared" si="1"/>
        <v>0.23533333333333334</v>
      </c>
      <c r="L30" s="37"/>
      <c r="M30" s="38"/>
      <c r="N30" s="38"/>
      <c r="O30" s="38"/>
      <c r="P30" s="39"/>
      <c r="Q30" s="3"/>
      <c r="R30" s="12"/>
      <c r="S30" s="15"/>
      <c r="T30" s="25">
        <f t="shared" si="2"/>
        <v>0</v>
      </c>
    </row>
    <row r="31" spans="1:20" ht="15.75" thickBot="1" x14ac:dyDescent="0.3">
      <c r="A31" s="37" t="s">
        <v>11</v>
      </c>
      <c r="B31" s="38"/>
      <c r="C31" s="38"/>
      <c r="D31" s="38"/>
      <c r="E31" s="39"/>
      <c r="F31" s="3"/>
      <c r="G31" s="12">
        <v>164</v>
      </c>
      <c r="H31" s="15">
        <v>320</v>
      </c>
      <c r="I31" s="25">
        <f t="shared" si="1"/>
        <v>0.51249999999999996</v>
      </c>
      <c r="L31" s="37"/>
      <c r="M31" s="38"/>
      <c r="N31" s="38"/>
      <c r="O31" s="38"/>
      <c r="P31" s="39"/>
      <c r="Q31" s="3"/>
      <c r="R31" s="12"/>
      <c r="S31" s="15"/>
      <c r="T31" s="25">
        <f t="shared" si="2"/>
        <v>0</v>
      </c>
    </row>
    <row r="32" spans="1:20" ht="15.75" thickBot="1" x14ac:dyDescent="0.3">
      <c r="A32" s="37" t="s">
        <v>12</v>
      </c>
      <c r="B32" s="38"/>
      <c r="C32" s="38"/>
      <c r="D32" s="38"/>
      <c r="E32" s="39"/>
      <c r="F32" s="3"/>
      <c r="G32" s="12">
        <v>471</v>
      </c>
      <c r="H32" s="17">
        <v>1000</v>
      </c>
      <c r="I32" s="25">
        <f t="shared" si="1"/>
        <v>0.47099999999999997</v>
      </c>
      <c r="J32" s="53" t="s">
        <v>13</v>
      </c>
      <c r="K32" s="54"/>
      <c r="L32" s="37"/>
      <c r="M32" s="38"/>
      <c r="N32" s="38"/>
      <c r="O32" s="38"/>
      <c r="P32" s="39"/>
      <c r="Q32" s="3"/>
      <c r="R32" s="12"/>
      <c r="S32" s="17"/>
      <c r="T32" s="25">
        <f t="shared" si="2"/>
        <v>0</v>
      </c>
    </row>
    <row r="33" spans="1:20" ht="15.75" thickBot="1" x14ac:dyDescent="0.3">
      <c r="A33" s="37" t="s">
        <v>14</v>
      </c>
      <c r="B33" s="38"/>
      <c r="C33" s="38"/>
      <c r="D33" s="38"/>
      <c r="E33" s="39"/>
      <c r="F33" s="3"/>
      <c r="G33" s="12">
        <v>139</v>
      </c>
      <c r="H33" s="15">
        <v>1</v>
      </c>
      <c r="I33" s="25">
        <f t="shared" si="1"/>
        <v>139</v>
      </c>
      <c r="L33" s="37"/>
      <c r="M33" s="38"/>
      <c r="N33" s="38"/>
      <c r="O33" s="38"/>
      <c r="P33" s="39"/>
      <c r="Q33" s="3"/>
      <c r="R33" s="12"/>
      <c r="S33" s="15"/>
      <c r="T33" s="25">
        <f t="shared" si="2"/>
        <v>0</v>
      </c>
    </row>
    <row r="34" spans="1:20" ht="15.75" thickBot="1" x14ac:dyDescent="0.3">
      <c r="A34" s="37" t="s">
        <v>15</v>
      </c>
      <c r="B34" s="38"/>
      <c r="C34" s="38"/>
      <c r="D34" s="38"/>
      <c r="E34" s="39"/>
      <c r="F34" s="3"/>
      <c r="G34" s="12">
        <v>47</v>
      </c>
      <c r="H34" s="15">
        <v>1</v>
      </c>
      <c r="I34" s="25">
        <f t="shared" si="1"/>
        <v>47</v>
      </c>
      <c r="L34" s="37"/>
      <c r="M34" s="38"/>
      <c r="N34" s="38"/>
      <c r="O34" s="38"/>
      <c r="P34" s="39"/>
      <c r="Q34" s="3"/>
      <c r="R34" s="12"/>
      <c r="S34" s="15"/>
      <c r="T34" s="25">
        <f t="shared" si="2"/>
        <v>0</v>
      </c>
    </row>
    <row r="35" spans="1:20" ht="15.75" thickBot="1" x14ac:dyDescent="0.3">
      <c r="A35" s="37" t="s">
        <v>16</v>
      </c>
      <c r="B35" s="38"/>
      <c r="C35" s="38"/>
      <c r="D35" s="38"/>
      <c r="E35" s="39"/>
      <c r="F35" s="3"/>
      <c r="G35" s="12">
        <v>16</v>
      </c>
      <c r="H35" s="15">
        <v>100</v>
      </c>
      <c r="I35" s="25">
        <f t="shared" si="1"/>
        <v>0.16</v>
      </c>
      <c r="L35" s="37"/>
      <c r="M35" s="38"/>
      <c r="N35" s="38"/>
      <c r="O35" s="38"/>
      <c r="P35" s="39"/>
      <c r="Q35" s="3"/>
      <c r="R35" s="12"/>
      <c r="S35" s="15"/>
      <c r="T35" s="25">
        <f t="shared" si="2"/>
        <v>0</v>
      </c>
    </row>
    <row r="36" spans="1:20" ht="15.75" thickBot="1" x14ac:dyDescent="0.3">
      <c r="A36" s="37" t="s">
        <v>17</v>
      </c>
      <c r="B36" s="38"/>
      <c r="C36" s="38"/>
      <c r="D36" s="38"/>
      <c r="E36" s="39"/>
      <c r="F36" s="3"/>
      <c r="G36" s="12">
        <v>153</v>
      </c>
      <c r="H36" s="15">
        <v>20</v>
      </c>
      <c r="I36" s="25">
        <f t="shared" si="1"/>
        <v>7.65</v>
      </c>
      <c r="L36" s="37"/>
      <c r="M36" s="38"/>
      <c r="N36" s="38"/>
      <c r="O36" s="38"/>
      <c r="P36" s="39"/>
      <c r="Q36" s="3"/>
      <c r="R36" s="12"/>
      <c r="S36" s="15"/>
      <c r="T36" s="25">
        <f t="shared" si="2"/>
        <v>0</v>
      </c>
    </row>
    <row r="37" spans="1:20" ht="15.75" thickBot="1" x14ac:dyDescent="0.3">
      <c r="A37" s="37" t="s">
        <v>18</v>
      </c>
      <c r="B37" s="38"/>
      <c r="C37" s="38"/>
      <c r="D37" s="38"/>
      <c r="E37" s="39"/>
      <c r="F37" s="3"/>
      <c r="G37" s="12">
        <v>119</v>
      </c>
      <c r="H37" s="15">
        <v>100</v>
      </c>
      <c r="I37" s="25">
        <f t="shared" si="1"/>
        <v>1.19</v>
      </c>
      <c r="L37" s="37"/>
      <c r="M37" s="38"/>
      <c r="N37" s="38"/>
      <c r="O37" s="38"/>
      <c r="P37" s="39"/>
      <c r="Q37" s="3"/>
      <c r="R37" s="12"/>
      <c r="S37" s="15"/>
      <c r="T37" s="25">
        <f t="shared" si="2"/>
        <v>0</v>
      </c>
    </row>
    <row r="38" spans="1:20" ht="15.75" thickBot="1" x14ac:dyDescent="0.3">
      <c r="A38" s="37" t="s">
        <v>19</v>
      </c>
      <c r="B38" s="38"/>
      <c r="C38" s="38"/>
      <c r="D38" s="38"/>
      <c r="E38" s="39"/>
      <c r="F38" s="8"/>
      <c r="G38" s="13">
        <v>73</v>
      </c>
      <c r="H38" s="15">
        <v>1</v>
      </c>
      <c r="I38" s="25">
        <f t="shared" si="1"/>
        <v>73</v>
      </c>
      <c r="L38" s="37"/>
      <c r="M38" s="38"/>
      <c r="N38" s="38"/>
      <c r="O38" s="38"/>
      <c r="P38" s="39"/>
      <c r="Q38" s="8"/>
      <c r="R38" s="13"/>
      <c r="S38" s="15"/>
      <c r="T38" s="25">
        <f t="shared" si="2"/>
        <v>0</v>
      </c>
    </row>
    <row r="39" spans="1:20" ht="15.75" thickBot="1" x14ac:dyDescent="0.3">
      <c r="A39" s="50"/>
      <c r="B39" s="51"/>
      <c r="C39" s="51"/>
      <c r="D39" s="51"/>
      <c r="E39" s="52"/>
      <c r="F39" s="9"/>
      <c r="G39" s="12"/>
      <c r="H39" s="15"/>
      <c r="I39" s="25">
        <f t="shared" si="1"/>
        <v>0</v>
      </c>
      <c r="L39" s="50"/>
      <c r="M39" s="51"/>
      <c r="N39" s="51"/>
      <c r="O39" s="51"/>
      <c r="P39" s="52"/>
      <c r="Q39" s="9"/>
      <c r="R39" s="12"/>
      <c r="S39" s="15"/>
      <c r="T39" s="25">
        <f t="shared" si="2"/>
        <v>0</v>
      </c>
    </row>
    <row r="40" spans="1:20" ht="15.75" thickBot="1" x14ac:dyDescent="0.3">
      <c r="A40" s="50"/>
      <c r="B40" s="51"/>
      <c r="C40" s="51"/>
      <c r="D40" s="51"/>
      <c r="E40" s="52"/>
      <c r="F40" s="6"/>
      <c r="G40" s="12"/>
      <c r="H40" s="15"/>
      <c r="I40" s="25">
        <f t="shared" si="1"/>
        <v>0</v>
      </c>
      <c r="L40" s="50"/>
      <c r="M40" s="51"/>
      <c r="N40" s="51"/>
      <c r="O40" s="51"/>
      <c r="P40" s="52"/>
      <c r="Q40" s="6"/>
      <c r="R40" s="12"/>
      <c r="S40" s="15"/>
      <c r="T40" s="25">
        <f t="shared" si="2"/>
        <v>0</v>
      </c>
    </row>
    <row r="41" spans="1:20" ht="15.75" thickBot="1" x14ac:dyDescent="0.3">
      <c r="A41" s="50"/>
      <c r="B41" s="51"/>
      <c r="C41" s="51"/>
      <c r="D41" s="51"/>
      <c r="E41" s="52"/>
      <c r="F41" s="6"/>
      <c r="G41" s="12"/>
      <c r="H41" s="15"/>
      <c r="I41" s="25">
        <f t="shared" si="1"/>
        <v>0</v>
      </c>
      <c r="L41" s="50"/>
      <c r="M41" s="51"/>
      <c r="N41" s="51"/>
      <c r="O41" s="51"/>
      <c r="P41" s="52"/>
      <c r="Q41" s="6"/>
      <c r="R41" s="12"/>
      <c r="S41" s="15"/>
      <c r="T41" s="25">
        <f t="shared" si="2"/>
        <v>0</v>
      </c>
    </row>
    <row r="42" spans="1:20" ht="15.75" thickBot="1" x14ac:dyDescent="0.3">
      <c r="A42" s="50"/>
      <c r="B42" s="51"/>
      <c r="C42" s="51"/>
      <c r="D42" s="51"/>
      <c r="E42" s="52"/>
      <c r="F42" s="6"/>
      <c r="G42" s="12"/>
      <c r="H42" s="15"/>
      <c r="I42" s="25">
        <f t="shared" si="1"/>
        <v>0</v>
      </c>
      <c r="L42" s="50"/>
      <c r="M42" s="51"/>
      <c r="N42" s="51"/>
      <c r="O42" s="51"/>
      <c r="P42" s="52"/>
      <c r="Q42" s="6"/>
      <c r="R42" s="12"/>
      <c r="S42" s="15"/>
      <c r="T42" s="25">
        <f t="shared" si="2"/>
        <v>0</v>
      </c>
    </row>
    <row r="43" spans="1:20" ht="15.75" thickBot="1" x14ac:dyDescent="0.3">
      <c r="A43" s="50"/>
      <c r="B43" s="51"/>
      <c r="C43" s="51"/>
      <c r="D43" s="51"/>
      <c r="E43" s="52"/>
      <c r="F43" s="6"/>
      <c r="G43" s="12"/>
      <c r="H43" s="15"/>
      <c r="I43" s="25">
        <f t="shared" si="1"/>
        <v>0</v>
      </c>
      <c r="L43" s="50"/>
      <c r="M43" s="51"/>
      <c r="N43" s="51"/>
      <c r="O43" s="51"/>
      <c r="P43" s="52"/>
      <c r="Q43" s="6"/>
      <c r="R43" s="12"/>
      <c r="S43" s="15"/>
      <c r="T43" s="25">
        <f t="shared" si="2"/>
        <v>0</v>
      </c>
    </row>
    <row r="44" spans="1:20" ht="15.75" thickBot="1" x14ac:dyDescent="0.3">
      <c r="A44" s="55"/>
      <c r="B44" s="56"/>
      <c r="C44" s="56"/>
      <c r="D44" s="56"/>
      <c r="E44" s="57"/>
      <c r="F44" s="7"/>
      <c r="G44" s="14"/>
      <c r="H44" s="16"/>
      <c r="I44" s="25">
        <f t="shared" si="1"/>
        <v>0</v>
      </c>
      <c r="L44" s="55"/>
      <c r="M44" s="56"/>
      <c r="N44" s="56"/>
      <c r="O44" s="56"/>
      <c r="P44" s="57"/>
      <c r="Q44" s="7"/>
      <c r="R44" s="14"/>
      <c r="S44" s="16"/>
      <c r="T44" s="25">
        <f t="shared" si="2"/>
        <v>0</v>
      </c>
    </row>
    <row r="45" spans="1:20" ht="15.75" thickBot="1" x14ac:dyDescent="0.3">
      <c r="A45" s="58" t="s">
        <v>27</v>
      </c>
      <c r="B45" s="59"/>
      <c r="C45" s="59"/>
      <c r="D45" s="59"/>
      <c r="E45" s="60"/>
      <c r="F45" s="10"/>
      <c r="G45" s="20">
        <f>G23+G24+G25+G26+G27+G28+G29+G30+G31+G32+G33+G34+G35+G36+G37+G38+G39+G40+G41+G42+G43+G44</f>
        <v>5632</v>
      </c>
      <c r="H45" s="21">
        <f>H23+H24+H25+H26+H27+H28+H29+H30+H31+H32+H33+H34+H35+H36+H37+H38+H39+H40+H41+H42+H43+H44</f>
        <v>3939</v>
      </c>
      <c r="I45" s="19">
        <f>I23+I24+I25+I26+I27+I28+I29+I30+I31+I32+I33+I34+I35+I36+I37+I38+I39+I40+I41+I42+I43+I44</f>
        <v>424.73342929292926</v>
      </c>
      <c r="L45" s="58" t="s">
        <v>27</v>
      </c>
      <c r="M45" s="59"/>
      <c r="N45" s="59"/>
      <c r="O45" s="59"/>
      <c r="P45" s="60"/>
      <c r="Q45" s="10"/>
      <c r="R45" s="20">
        <f>R23+R24+R25+R26+R27+R28+R29+R30+R31+R32+R33+R34+R35+R36+R37+R38+R39+R40+R41+R42+R43+R44</f>
        <v>129</v>
      </c>
      <c r="S45" s="21">
        <f>S23+S24+S25+S26+S27+S28+S29+S30+S31+S32+S33+S34+S35+S36+S37+S38+S39+S40+S41+S42+S43+S44</f>
        <v>17</v>
      </c>
      <c r="T45" s="19">
        <f>T23+T25+T24+T26+T27+T28+T29+T30+T32+T31+T33+T34+T35+T36+T37+T38+T39+T40+T42+T41+T43+T44</f>
        <v>697</v>
      </c>
    </row>
  </sheetData>
  <mergeCells count="84">
    <mergeCell ref="K12:L12"/>
    <mergeCell ref="M12:N12"/>
    <mergeCell ref="N4:R4"/>
    <mergeCell ref="J1:M1"/>
    <mergeCell ref="J2:K2"/>
    <mergeCell ref="L2:M2"/>
    <mergeCell ref="J3:K3"/>
    <mergeCell ref="L3:M3"/>
    <mergeCell ref="K9:L9"/>
    <mergeCell ref="M9:N9"/>
    <mergeCell ref="K10:L10"/>
    <mergeCell ref="M10:N10"/>
    <mergeCell ref="K11:L11"/>
    <mergeCell ref="M11:N11"/>
    <mergeCell ref="L44:P44"/>
    <mergeCell ref="L45:P45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L39:P39"/>
    <mergeCell ref="L40:P40"/>
    <mergeCell ref="L41:P41"/>
    <mergeCell ref="L42:P42"/>
    <mergeCell ref="L43:P43"/>
    <mergeCell ref="L34:P34"/>
    <mergeCell ref="L35:P35"/>
    <mergeCell ref="L36:P36"/>
    <mergeCell ref="L37:P37"/>
    <mergeCell ref="L38:P38"/>
    <mergeCell ref="A43:E43"/>
    <mergeCell ref="A44:E44"/>
    <mergeCell ref="A45:E45"/>
    <mergeCell ref="L22:P22"/>
    <mergeCell ref="L23:P23"/>
    <mergeCell ref="L24:P24"/>
    <mergeCell ref="L25:P25"/>
    <mergeCell ref="L26:P26"/>
    <mergeCell ref="L27:P27"/>
    <mergeCell ref="L28:P28"/>
    <mergeCell ref="L29:P29"/>
    <mergeCell ref="L30:P30"/>
    <mergeCell ref="L31:P31"/>
    <mergeCell ref="L32:P32"/>
    <mergeCell ref="L33:P33"/>
    <mergeCell ref="A39:E39"/>
    <mergeCell ref="J32:K32"/>
    <mergeCell ref="A41:E41"/>
    <mergeCell ref="A42:E42"/>
    <mergeCell ref="A34:E34"/>
    <mergeCell ref="A35:E35"/>
    <mergeCell ref="A36:E36"/>
    <mergeCell ref="A37:E37"/>
    <mergeCell ref="A38:E38"/>
    <mergeCell ref="A30:E30"/>
    <mergeCell ref="A31:E31"/>
    <mergeCell ref="A32:E32"/>
    <mergeCell ref="A33:E33"/>
    <mergeCell ref="A40:E40"/>
    <mergeCell ref="A25:E25"/>
    <mergeCell ref="A26:E26"/>
    <mergeCell ref="A27:E27"/>
    <mergeCell ref="A28:E28"/>
    <mergeCell ref="A29:E29"/>
    <mergeCell ref="A23:E23"/>
    <mergeCell ref="A16:E16"/>
    <mergeCell ref="A17:E17"/>
    <mergeCell ref="A18:E18"/>
    <mergeCell ref="A24:E24"/>
    <mergeCell ref="A1:E1"/>
    <mergeCell ref="A20:E20"/>
    <mergeCell ref="A19:E19"/>
    <mergeCell ref="H1:I1"/>
    <mergeCell ref="A22:E22"/>
  </mergeCells>
  <pageMargins left="0.7" right="0.7" top="0.78740157499999996" bottom="0.78740157499999996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60F1-B3A5-4E25-9088-540D1BAAA145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Výdělek za 1ks</vt:lpstr>
      <vt:lpstr>Rok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Antonín Ulich</dc:creator>
  <cp:lastModifiedBy>Antonín Ulich</cp:lastModifiedBy>
  <dcterms:created xsi:type="dcterms:W3CDTF">2026-01-19T20:34:00Z</dcterms:created>
  <dcterms:modified xsi:type="dcterms:W3CDTF">2026-01-21T15:16:46Z</dcterms:modified>
</cp:coreProperties>
</file>